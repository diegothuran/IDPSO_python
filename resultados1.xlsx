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sultados-bohachevysck" sheetId="1" state="visible" r:id="rId2"/>
    <sheet name="resultados-rosenbrock" sheetId="2" state="visible" r:id="rId3"/>
    <sheet name="resultados-griwank" sheetId="3" state="visible" r:id="rId4"/>
    <sheet name="resultados-spher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<sst xmlns="http://schemas.openxmlformats.org/spreadsheetml/2006/main" count="56" uniqueCount="8">
  <si>
    <t xml:space="preserve">idpso</t>
  </si>
  <si>
    <t xml:space="preserve">pso</t>
  </si>
  <si>
    <t xml:space="preserve">psod</t>
  </si>
  <si>
    <t xml:space="preserve">Resultado</t>
  </si>
  <si>
    <t xml:space="preserve">Iteração</t>
  </si>
  <si>
    <t xml:space="preserve">Tempo</t>
  </si>
  <si>
    <t xml:space="preserve">Mean</t>
  </si>
  <si>
    <t xml:space="preserve">Sdt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</si>
</sst>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150.569422297092</v>
      </c>
      <c r="C4" s="0" t="n">
        <v>20000</v>
      </c>
      <c r="D4" s="0" t="n">
        <v>28.3292553424835</v>
      </c>
      <c r="E4" s="0" t="n">
        <v>0</v>
      </c>
      <c r="F4" s="0" t="n">
        <v>20000</v>
      </c>
      <c r="G4" s="0" t="n">
        <v>19.6530289649963</v>
      </c>
      <c r="H4" s="0" t="n">
        <v>3.14935216120424</v>
      </c>
      <c r="I4" s="0" t="n">
        <v>20000</v>
      </c>
      <c r="J4" s="0" t="n">
        <v>14.2139523029327</v>
      </c>
    </row>
    <row r="5" customFormat="false" ht="15" hidden="false" customHeight="false" outlineLevel="0" collapsed="false">
      <c r="A5" s="1" t="n">
        <v>1</v>
      </c>
      <c r="B5" s="0" t="n">
        <v>205.709533964883</v>
      </c>
      <c r="C5" s="0" t="n">
        <v>20000</v>
      </c>
      <c r="D5" s="0" t="n">
        <v>32.2240138053894</v>
      </c>
      <c r="E5" s="0" t="n">
        <v>0</v>
      </c>
      <c r="F5" s="0" t="n">
        <v>20000</v>
      </c>
      <c r="G5" s="0" t="n">
        <v>19.9528532028198</v>
      </c>
      <c r="H5" s="0" t="n">
        <v>3.74339469731573</v>
      </c>
      <c r="I5" s="0" t="n">
        <v>20000</v>
      </c>
      <c r="J5" s="0" t="n">
        <v>14.305490732193</v>
      </c>
    </row>
    <row r="6" customFormat="false" ht="15" hidden="false" customHeight="false" outlineLevel="0" collapsed="false">
      <c r="A6" s="1" t="n">
        <v>2</v>
      </c>
      <c r="B6" s="0" t="n">
        <v>192.749309431353</v>
      </c>
      <c r="C6" s="0" t="n">
        <v>20000</v>
      </c>
      <c r="D6" s="0" t="n">
        <v>25.5530984401703</v>
      </c>
      <c r="E6" s="0" t="n">
        <v>0</v>
      </c>
      <c r="F6" s="0" t="n">
        <v>20000</v>
      </c>
      <c r="G6" s="0" t="n">
        <v>18.0824127197266</v>
      </c>
      <c r="H6" s="0" t="n">
        <v>4.19913621493746</v>
      </c>
      <c r="I6" s="0" t="n">
        <v>20000</v>
      </c>
      <c r="J6" s="0" t="n">
        <v>14.7591578960419</v>
      </c>
    </row>
    <row r="7" customFormat="false" ht="15" hidden="false" customHeight="false" outlineLevel="0" collapsed="false">
      <c r="A7" s="1" t="n">
        <v>3</v>
      </c>
      <c r="B7" s="0" t="n">
        <v>194.639826530859</v>
      </c>
      <c r="C7" s="0" t="n">
        <v>20000</v>
      </c>
      <c r="D7" s="0" t="n">
        <v>42.9065859317779</v>
      </c>
      <c r="E7" s="0" t="n">
        <v>0</v>
      </c>
      <c r="F7" s="0" t="n">
        <v>20000</v>
      </c>
      <c r="G7" s="0" t="n">
        <v>17.6708936691284</v>
      </c>
      <c r="H7" s="0" t="n">
        <v>1.04978405406244</v>
      </c>
      <c r="I7" s="0" t="n">
        <v>20000</v>
      </c>
      <c r="J7" s="0" t="n">
        <v>32.6785526275635</v>
      </c>
    </row>
    <row r="8" customFormat="false" ht="15" hidden="false" customHeight="false" outlineLevel="0" collapsed="false">
      <c r="A8" s="1" t="n">
        <v>4</v>
      </c>
      <c r="B8" s="0" t="n">
        <v>214.43404264777</v>
      </c>
      <c r="C8" s="0" t="n">
        <v>20000</v>
      </c>
      <c r="D8" s="0" t="n">
        <v>26.9833743572235</v>
      </c>
      <c r="E8" s="0" t="n">
        <v>0</v>
      </c>
      <c r="F8" s="0" t="n">
        <v>20000</v>
      </c>
      <c r="G8" s="0" t="n">
        <v>19.1777231693268</v>
      </c>
      <c r="H8" s="0" t="n">
        <v>4.612063045213</v>
      </c>
      <c r="I8" s="0" t="n">
        <v>20000</v>
      </c>
      <c r="J8" s="0" t="n">
        <v>13.8844730854034</v>
      </c>
    </row>
    <row r="9" customFormat="false" ht="15" hidden="false" customHeight="false" outlineLevel="0" collapsed="false">
      <c r="A9" s="1" t="n">
        <v>5</v>
      </c>
      <c r="B9" s="0" t="n">
        <v>266.404715142609</v>
      </c>
      <c r="C9" s="0" t="n">
        <v>20000</v>
      </c>
      <c r="D9" s="0" t="n">
        <v>19.4475038051605</v>
      </c>
      <c r="E9" s="0" t="n">
        <v>1.04978405373428</v>
      </c>
      <c r="F9" s="0" t="n">
        <v>20000</v>
      </c>
      <c r="G9" s="0" t="n">
        <v>19.1247775554657</v>
      </c>
      <c r="H9" s="0" t="n">
        <v>1.46271088401013</v>
      </c>
      <c r="I9" s="0" t="n">
        <v>20000</v>
      </c>
      <c r="J9" s="0" t="n">
        <v>13.7247700691223</v>
      </c>
    </row>
    <row r="10" customFormat="false" ht="15" hidden="false" customHeight="false" outlineLevel="0" collapsed="false">
      <c r="A10" s="1" t="n">
        <v>6</v>
      </c>
      <c r="B10" s="0" t="n">
        <v>289.693891756574</v>
      </c>
      <c r="C10" s="0" t="n">
        <v>20000</v>
      </c>
      <c r="D10" s="0" t="n">
        <v>15.3410184383392</v>
      </c>
      <c r="E10" s="0" t="n">
        <v>0</v>
      </c>
      <c r="F10" s="0" t="n">
        <v>20000</v>
      </c>
      <c r="G10" s="0" t="n">
        <v>17.6206269264221</v>
      </c>
      <c r="H10" s="0" t="n">
        <v>1.51966646865567</v>
      </c>
      <c r="I10" s="0" t="n">
        <v>20000</v>
      </c>
      <c r="J10" s="0" t="n">
        <v>14.0038788318634</v>
      </c>
    </row>
    <row r="11" customFormat="false" ht="15" hidden="false" customHeight="false" outlineLevel="0" collapsed="false">
      <c r="A11" s="1" t="n">
        <v>7</v>
      </c>
      <c r="B11" s="0" t="n">
        <v>167.556515810989</v>
      </c>
      <c r="C11" s="0" t="n">
        <v>20000</v>
      </c>
      <c r="D11" s="0" t="n">
        <v>39.4730815887451</v>
      </c>
      <c r="E11" s="0" t="n">
        <v>0</v>
      </c>
      <c r="F11" s="0" t="n">
        <v>20000</v>
      </c>
      <c r="G11" s="0" t="n">
        <v>17.2509293556213</v>
      </c>
      <c r="H11" s="0" t="n">
        <v>5.24892026867139</v>
      </c>
      <c r="I11" s="0" t="n">
        <v>20000</v>
      </c>
      <c r="J11" s="0" t="n">
        <v>13.3554949760437</v>
      </c>
    </row>
    <row r="12" customFormat="false" ht="15" hidden="false" customHeight="false" outlineLevel="0" collapsed="false">
      <c r="A12" s="1" t="n">
        <v>8</v>
      </c>
      <c r="B12" s="0" t="n">
        <v>198.881503517137</v>
      </c>
      <c r="C12" s="0" t="n">
        <v>20000</v>
      </c>
      <c r="D12" s="0" t="n">
        <v>33.0185506343842</v>
      </c>
      <c r="E12" s="0" t="n">
        <v>0</v>
      </c>
      <c r="F12" s="0" t="n">
        <v>20000</v>
      </c>
      <c r="G12" s="0" t="n">
        <v>17.1169991493225</v>
      </c>
      <c r="H12" s="0" t="n">
        <v>2.09956810746856</v>
      </c>
      <c r="I12" s="0" t="n">
        <v>20000</v>
      </c>
      <c r="J12" s="0" t="n">
        <v>13.4914429187775</v>
      </c>
    </row>
    <row r="13" customFormat="false" ht="15" hidden="false" customHeight="false" outlineLevel="0" collapsed="false">
      <c r="A13" s="1" t="n">
        <v>9</v>
      </c>
      <c r="B13" s="0" t="n">
        <v>253.960306484248</v>
      </c>
      <c r="C13" s="0" t="n">
        <v>20000</v>
      </c>
      <c r="D13" s="0" t="n">
        <v>25.8138828277588</v>
      </c>
      <c r="E13" s="0" t="n">
        <v>0</v>
      </c>
      <c r="F13" s="0" t="n">
        <v>20000</v>
      </c>
      <c r="G13" s="0" t="n">
        <v>18.0808572769165</v>
      </c>
      <c r="H13" s="0" t="n">
        <v>1.04978405373429</v>
      </c>
      <c r="I13" s="0" t="n">
        <v>20000</v>
      </c>
      <c r="J13" s="0" t="n">
        <v>13.7302806377411</v>
      </c>
    </row>
    <row r="15" customFormat="false" ht="13.8" hidden="false" customHeight="false" outlineLevel="0" collapsed="false">
      <c r="A15" s="2" t="s">
        <v>6</v>
      </c>
      <c r="B15" s="0" t="n">
        <f aca="false">AVERAGE(B4:B13)</f>
        <v>213.459906758351</v>
      </c>
      <c r="D15" s="0" t="n">
        <f aca="false">AVERAGE(D4:D13)</f>
        <v>28.9090365171432</v>
      </c>
      <c r="E15" s="2" t="n">
        <f aca="false">AVERAGE(E4:E13)</f>
        <v>0.104978405373428</v>
      </c>
      <c r="G15" s="0" t="n">
        <f aca="false">AVERAGE(G4:G13)</f>
        <v>18.3731101989746</v>
      </c>
      <c r="H15" s="0" t="n">
        <f aca="false">AVERAGE(H4:H13)</f>
        <v>2.81343799552729</v>
      </c>
      <c r="J15" s="0" t="n">
        <f aca="false">AVERAGE(J4:J13)</f>
        <v>15.8147494077682</v>
      </c>
    </row>
    <row r="16" customFormat="false" ht="13.8" hidden="false" customHeight="false" outlineLevel="0" collapsed="false">
      <c r="A16" s="2" t="s">
        <v>7</v>
      </c>
      <c r="B16" s="0" t="n">
        <f aca="false">STDEV(B4:B13)</f>
        <v>43.9369007648636</v>
      </c>
      <c r="D16" s="0" t="n">
        <f aca="false">STDEV(D4:D13)</f>
        <v>8.39249633197591</v>
      </c>
      <c r="E16" s="0" t="n">
        <f aca="false">STDEV(E4:E13)</f>
        <v>0.331970866112491</v>
      </c>
      <c r="G16" s="0" t="n">
        <f aca="false">STDEV(G4:G13)</f>
        <v>1.02266246153449</v>
      </c>
      <c r="H16" s="0" t="n">
        <f aca="false">STDEV(H4:H13)</f>
        <v>1.57385981599347</v>
      </c>
      <c r="J16" s="0" t="n">
        <f aca="false">STDEV(J4:J13)</f>
        <v>5.93957044472393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220749.659142667</v>
      </c>
      <c r="C4" s="0" t="n">
        <v>20000</v>
      </c>
      <c r="D4" s="0" t="n">
        <v>10.8371169567108</v>
      </c>
      <c r="E4" s="0" t="n">
        <v>2502.22238685883</v>
      </c>
      <c r="F4" s="0" t="n">
        <v>20000</v>
      </c>
      <c r="G4" s="0" t="n">
        <v>48.9861402511597</v>
      </c>
      <c r="H4" s="0" t="n">
        <v>82.9290661400649</v>
      </c>
      <c r="I4" s="0" t="n">
        <v>20000</v>
      </c>
      <c r="J4" s="0" t="n">
        <v>39.8559262752533</v>
      </c>
    </row>
    <row r="5" customFormat="false" ht="15" hidden="false" customHeight="false" outlineLevel="0" collapsed="false">
      <c r="A5" s="1" t="n">
        <v>1</v>
      </c>
      <c r="B5" s="0" t="n">
        <v>202756.956049359</v>
      </c>
      <c r="C5" s="0" t="n">
        <v>20000</v>
      </c>
      <c r="D5" s="0" t="n">
        <v>8.88131713867188</v>
      </c>
      <c r="E5" s="0" t="n">
        <v>55034.3123549364</v>
      </c>
      <c r="F5" s="0" t="n">
        <v>20000</v>
      </c>
      <c r="G5" s="0" t="n">
        <v>39.4924492835999</v>
      </c>
      <c r="H5" s="0" t="n">
        <v>2.56111777309575E-005</v>
      </c>
      <c r="I5" s="0" t="n">
        <v>20000</v>
      </c>
      <c r="J5" s="0" t="n">
        <v>78.9883251190186</v>
      </c>
    </row>
    <row r="6" customFormat="false" ht="15" hidden="false" customHeight="false" outlineLevel="0" collapsed="false">
      <c r="A6" s="1" t="n">
        <v>2</v>
      </c>
      <c r="B6" s="0" t="n">
        <v>240365.14397786</v>
      </c>
      <c r="C6" s="0" t="n">
        <v>20000</v>
      </c>
      <c r="D6" s="0" t="n">
        <v>13.3130490779877</v>
      </c>
      <c r="E6" s="0" t="n">
        <v>2502.22238685883</v>
      </c>
      <c r="F6" s="0" t="n">
        <v>20000</v>
      </c>
      <c r="G6" s="0" t="n">
        <v>44.1420686244965</v>
      </c>
      <c r="H6" s="0" t="n">
        <v>3.98667487333697</v>
      </c>
      <c r="I6" s="0" t="n">
        <v>20000</v>
      </c>
      <c r="J6" s="0" t="n">
        <v>79.4442706108093</v>
      </c>
    </row>
    <row r="7" customFormat="false" ht="15" hidden="false" customHeight="false" outlineLevel="0" collapsed="false">
      <c r="A7" s="1" t="n">
        <v>3</v>
      </c>
      <c r="B7" s="0" t="n">
        <v>198735.846709656</v>
      </c>
      <c r="C7" s="0" t="n">
        <v>20000</v>
      </c>
      <c r="D7" s="0" t="n">
        <v>8.8195481300354</v>
      </c>
      <c r="E7" s="0" t="n">
        <v>53937.990570513</v>
      </c>
      <c r="F7" s="0" t="n">
        <v>20000</v>
      </c>
      <c r="G7" s="0" t="n">
        <v>36.9244120121002</v>
      </c>
      <c r="H7" s="0" t="n">
        <v>2.26773651512348E-005</v>
      </c>
      <c r="I7" s="0" t="n">
        <v>20000</v>
      </c>
      <c r="J7" s="0" t="n">
        <v>78.5511977672577</v>
      </c>
    </row>
    <row r="8" customFormat="false" ht="15" hidden="false" customHeight="false" outlineLevel="0" collapsed="false">
      <c r="A8" s="1" t="n">
        <v>4</v>
      </c>
      <c r="B8" s="0" t="n">
        <v>335914.287778697</v>
      </c>
      <c r="C8" s="0" t="n">
        <v>20000</v>
      </c>
      <c r="D8" s="0" t="n">
        <v>9.9658944606781</v>
      </c>
      <c r="E8" s="0" t="n">
        <v>0.000187357011684548</v>
      </c>
      <c r="F8" s="0" t="n">
        <v>20000</v>
      </c>
      <c r="G8" s="0" t="n">
        <v>65.4677228927612</v>
      </c>
      <c r="H8" s="0" t="n">
        <v>0.000421549008148583</v>
      </c>
      <c r="I8" s="0" t="n">
        <v>20000</v>
      </c>
      <c r="J8" s="0" t="n">
        <v>78.803403377533</v>
      </c>
    </row>
    <row r="9" customFormat="false" ht="15" hidden="false" customHeight="false" outlineLevel="0" collapsed="false">
      <c r="A9" s="1" t="n">
        <v>5</v>
      </c>
      <c r="B9" s="0" t="n">
        <v>342484.981544538</v>
      </c>
      <c r="C9" s="0" t="n">
        <v>20000</v>
      </c>
      <c r="D9" s="0" t="n">
        <v>13.9121453762054</v>
      </c>
      <c r="E9" s="0" t="n">
        <v>56532.3233660457</v>
      </c>
      <c r="F9" s="0" t="n">
        <v>20000</v>
      </c>
      <c r="G9" s="0" t="n">
        <v>36.7612133026123</v>
      </c>
      <c r="H9" s="0" t="n">
        <v>0.000215029200464209</v>
      </c>
      <c r="I9" s="0" t="n">
        <v>20000</v>
      </c>
      <c r="J9" s="0" t="n">
        <v>78.4318583011627</v>
      </c>
    </row>
    <row r="10" customFormat="false" ht="15" hidden="false" customHeight="false" outlineLevel="0" collapsed="false">
      <c r="A10" s="1" t="n">
        <v>6</v>
      </c>
      <c r="B10" s="0" t="n">
        <v>166406.881341634</v>
      </c>
      <c r="C10" s="0" t="n">
        <v>20000</v>
      </c>
      <c r="D10" s="0" t="n">
        <v>9.01230645179749</v>
      </c>
      <c r="E10" s="0" t="n">
        <v>221008.020106832</v>
      </c>
      <c r="F10" s="0" t="n">
        <v>20000</v>
      </c>
      <c r="G10" s="0" t="n">
        <v>13.3291988372803</v>
      </c>
      <c r="H10" s="0" t="n">
        <v>9.93405961718596E-006</v>
      </c>
      <c r="I10" s="0" t="n">
        <v>20000</v>
      </c>
      <c r="J10" s="0" t="n">
        <v>78.8590676784515</v>
      </c>
    </row>
    <row r="11" customFormat="false" ht="15" hidden="false" customHeight="false" outlineLevel="0" collapsed="false">
      <c r="A11" s="1" t="n">
        <v>7</v>
      </c>
      <c r="B11" s="0" t="n">
        <v>225352.579375368</v>
      </c>
      <c r="C11" s="0" t="n">
        <v>20000</v>
      </c>
      <c r="D11" s="0" t="n">
        <v>28.6461052894592</v>
      </c>
      <c r="E11" s="0" t="n">
        <v>60370.2163200663</v>
      </c>
      <c r="F11" s="0" t="n">
        <v>20000</v>
      </c>
      <c r="G11" s="0" t="n">
        <v>48.2530272006989</v>
      </c>
      <c r="H11" s="0" t="n">
        <v>3.99655461928681</v>
      </c>
      <c r="I11" s="0" t="n">
        <v>20000</v>
      </c>
      <c r="J11" s="0" t="n">
        <v>79.5733478069305</v>
      </c>
    </row>
    <row r="12" customFormat="false" ht="15" hidden="false" customHeight="false" outlineLevel="0" collapsed="false">
      <c r="A12" s="1" t="n">
        <v>8</v>
      </c>
      <c r="B12" s="0" t="n">
        <v>273516.757683517</v>
      </c>
      <c r="C12" s="0" t="n">
        <v>20000</v>
      </c>
      <c r="D12" s="0" t="n">
        <v>8.93359684944153</v>
      </c>
      <c r="E12" s="0" t="n">
        <v>110874.979271593</v>
      </c>
      <c r="F12" s="0" t="n">
        <v>20000</v>
      </c>
      <c r="G12" s="0" t="n">
        <v>16.5388634204864</v>
      </c>
      <c r="H12" s="0" t="n">
        <v>0.00674051155632292</v>
      </c>
      <c r="I12" s="0" t="n">
        <v>20000</v>
      </c>
      <c r="J12" s="0" t="n">
        <v>79.8834688663483</v>
      </c>
    </row>
    <row r="13" customFormat="false" ht="15" hidden="false" customHeight="false" outlineLevel="0" collapsed="false">
      <c r="A13" s="1" t="n">
        <v>9</v>
      </c>
      <c r="B13" s="0" t="n">
        <v>61295.398561578</v>
      </c>
      <c r="C13" s="0" t="n">
        <v>20000</v>
      </c>
      <c r="D13" s="0" t="n">
        <v>28.028502702713</v>
      </c>
      <c r="E13" s="0" t="n">
        <v>58357.61517557</v>
      </c>
      <c r="F13" s="0" t="n">
        <v>20000</v>
      </c>
      <c r="G13" s="0" t="n">
        <v>31.9199352264404</v>
      </c>
      <c r="H13" s="0" t="n">
        <v>8.71897061989879E-005</v>
      </c>
      <c r="I13" s="0" t="n">
        <v>20000</v>
      </c>
      <c r="J13" s="0" t="n">
        <v>78.7624156475067</v>
      </c>
    </row>
    <row r="15" customFormat="false" ht="13.8" hidden="false" customHeight="false" outlineLevel="0" collapsed="false">
      <c r="A15" s="2" t="s">
        <v>6</v>
      </c>
      <c r="B15" s="0" t="n">
        <f aca="false">AVERAGE(B4:B13)</f>
        <v>226757.849216487</v>
      </c>
      <c r="D15" s="0" t="n">
        <f aca="false">AVERAGE(D4:D13)</f>
        <v>14.0349582433701</v>
      </c>
      <c r="E15" s="0" t="n">
        <f aca="false">AVERAGE(E4:E13)</f>
        <v>62111.9902126631</v>
      </c>
      <c r="G15" s="0" t="n">
        <f aca="false">AVERAGE(G4:G13)</f>
        <v>38.1815031051636</v>
      </c>
      <c r="H15" s="2" t="n">
        <f aca="false">AVERAGE(H4:H13)</f>
        <v>9.09198181347623</v>
      </c>
      <c r="J15" s="0" t="n">
        <f aca="false">AVERAGE(J4:J13)</f>
        <v>75.1153281450272</v>
      </c>
    </row>
    <row r="16" customFormat="false" ht="13.8" hidden="false" customHeight="false" outlineLevel="0" collapsed="false">
      <c r="A16" s="2" t="s">
        <v>7</v>
      </c>
      <c r="B16" s="0" t="n">
        <f aca="false">STDEV(B4:B13)</f>
        <v>81716.8973121856</v>
      </c>
      <c r="D16" s="0" t="n">
        <f aca="false">STDEV(D4:D13)</f>
        <v>7.75769186550348</v>
      </c>
      <c r="E16" s="0" t="n">
        <f aca="false">STDEV(E4:E13)</f>
        <v>65621.3846816426</v>
      </c>
      <c r="G16" s="0" t="n">
        <f aca="false">STDEV(G4:G13)</f>
        <v>15.3796622789725</v>
      </c>
      <c r="H16" s="0" t="n">
        <f aca="false">STDEV(H4:H13)</f>
        <v>25.9966979718053</v>
      </c>
      <c r="J16" s="0" t="n">
        <f aca="false">STDEV(J4:J13)</f>
        <v>12.3975700042569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1.01519451445188</v>
      </c>
      <c r="C4" s="0" t="n">
        <v>20000</v>
      </c>
      <c r="D4" s="0" t="n">
        <v>21.1439356803894</v>
      </c>
      <c r="E4" s="0" t="n">
        <v>0.0589306984806959</v>
      </c>
      <c r="F4" s="0" t="n">
        <v>20000</v>
      </c>
      <c r="G4" s="0" t="n">
        <v>14.3826575279236</v>
      </c>
      <c r="H4" s="0" t="n">
        <v>0.0857432951885998</v>
      </c>
      <c r="I4" s="0" t="n">
        <v>20000</v>
      </c>
      <c r="J4" s="0" t="n">
        <v>12.0733962059021</v>
      </c>
    </row>
    <row r="5" customFormat="false" ht="15" hidden="false" customHeight="false" outlineLevel="0" collapsed="false">
      <c r="A5" s="1" t="n">
        <v>1</v>
      </c>
      <c r="B5" s="0" t="n">
        <v>0.994504057302323</v>
      </c>
      <c r="C5" s="0" t="n">
        <v>20000</v>
      </c>
      <c r="D5" s="0" t="n">
        <v>12.0952436923981</v>
      </c>
      <c r="E5" s="0" t="n">
        <v>0.115499870573968</v>
      </c>
      <c r="F5" s="0" t="n">
        <v>20000</v>
      </c>
      <c r="G5" s="0" t="n">
        <v>18.8657703399658</v>
      </c>
      <c r="H5" s="0" t="n">
        <v>0.0318983825473138</v>
      </c>
      <c r="I5" s="0" t="n">
        <v>20000</v>
      </c>
      <c r="J5" s="0" t="n">
        <v>11.913521528244</v>
      </c>
    </row>
    <row r="6" customFormat="false" ht="15" hidden="false" customHeight="false" outlineLevel="0" collapsed="false">
      <c r="A6" s="1" t="n">
        <v>2</v>
      </c>
      <c r="B6" s="0" t="n">
        <v>1.01197012382355</v>
      </c>
      <c r="C6" s="0" t="n">
        <v>20000</v>
      </c>
      <c r="D6" s="0" t="n">
        <v>14.1513407230377</v>
      </c>
      <c r="E6" s="0" t="n">
        <v>0.0539640283155185</v>
      </c>
      <c r="F6" s="0" t="n">
        <v>20000</v>
      </c>
      <c r="G6" s="0" t="n">
        <v>13.9488945007324</v>
      </c>
      <c r="H6" s="0" t="n">
        <v>0.00985728460782309</v>
      </c>
      <c r="I6" s="0" t="n">
        <v>20000</v>
      </c>
      <c r="J6" s="0" t="n">
        <v>12.1967158317566</v>
      </c>
    </row>
    <row r="7" customFormat="false" ht="15" hidden="false" customHeight="false" outlineLevel="0" collapsed="false">
      <c r="A7" s="1" t="n">
        <v>3</v>
      </c>
      <c r="B7" s="0" t="n">
        <v>1.01798978826968</v>
      </c>
      <c r="C7" s="0" t="n">
        <v>20000</v>
      </c>
      <c r="D7" s="0" t="n">
        <v>10.4119551181793</v>
      </c>
      <c r="E7" s="0" t="n">
        <v>0.0369605062381553</v>
      </c>
      <c r="F7" s="0" t="n">
        <v>20000</v>
      </c>
      <c r="G7" s="0" t="n">
        <v>15.2114524841309</v>
      </c>
      <c r="H7" s="0" t="n">
        <v>0.0440949515163789</v>
      </c>
      <c r="I7" s="0" t="n">
        <v>20000</v>
      </c>
      <c r="J7" s="0" t="n">
        <v>12.1040894985199</v>
      </c>
    </row>
    <row r="8" customFormat="false" ht="15" hidden="false" customHeight="false" outlineLevel="0" collapsed="false">
      <c r="A8" s="1" t="n">
        <v>4</v>
      </c>
      <c r="B8" s="0" t="n">
        <v>0.969871040502297</v>
      </c>
      <c r="C8" s="0" t="n">
        <v>20000</v>
      </c>
      <c r="D8" s="0" t="n">
        <v>16.7516210079193</v>
      </c>
      <c r="E8" s="0" t="n">
        <v>0.137456910544693</v>
      </c>
      <c r="F8" s="0" t="n">
        <v>20000</v>
      </c>
      <c r="G8" s="0" t="n">
        <v>14.5391728878021</v>
      </c>
      <c r="H8" s="0" t="n">
        <v>6.17284001691587E-014</v>
      </c>
      <c r="I8" s="0" t="n">
        <v>20000</v>
      </c>
      <c r="J8" s="0" t="n">
        <v>12.202260017395</v>
      </c>
    </row>
    <row r="9" customFormat="false" ht="15" hidden="false" customHeight="false" outlineLevel="0" collapsed="false">
      <c r="A9" s="1" t="n">
        <v>5</v>
      </c>
      <c r="B9" s="0" t="n">
        <v>1.00809480326515</v>
      </c>
      <c r="C9" s="0" t="n">
        <v>20000</v>
      </c>
      <c r="D9" s="0" t="n">
        <v>12.7366688251495</v>
      </c>
      <c r="E9" s="0" t="n">
        <v>0.0221267334328775</v>
      </c>
      <c r="F9" s="0" t="n">
        <v>20000</v>
      </c>
      <c r="G9" s="0" t="n">
        <v>14.2383959293366</v>
      </c>
      <c r="H9" s="0" t="n">
        <v>1.68993021347389</v>
      </c>
      <c r="I9" s="0" t="n">
        <v>20000</v>
      </c>
      <c r="J9" s="0" t="n">
        <v>11.8578660488129</v>
      </c>
    </row>
    <row r="10" customFormat="false" ht="15" hidden="false" customHeight="false" outlineLevel="0" collapsed="false">
      <c r="A10" s="1" t="n">
        <v>6</v>
      </c>
      <c r="B10" s="0" t="n">
        <v>1.03285214375559</v>
      </c>
      <c r="C10" s="0" t="n">
        <v>20000</v>
      </c>
      <c r="D10" s="0" t="n">
        <v>10.7611541748047</v>
      </c>
      <c r="E10" s="0" t="n">
        <v>0.0221267334328775</v>
      </c>
      <c r="F10" s="0" t="n">
        <v>20000</v>
      </c>
      <c r="G10" s="0" t="n">
        <v>14.6664371490479</v>
      </c>
      <c r="H10" s="0" t="n">
        <v>9.69224700497762E-014</v>
      </c>
      <c r="I10" s="0" t="n">
        <v>20000</v>
      </c>
      <c r="J10" s="0" t="n">
        <v>12.0221347808838</v>
      </c>
    </row>
    <row r="11" customFormat="false" ht="15" hidden="false" customHeight="false" outlineLevel="0" collapsed="false">
      <c r="A11" s="1" t="n">
        <v>7</v>
      </c>
      <c r="B11" s="0" t="n">
        <v>1.018618304573</v>
      </c>
      <c r="C11" s="0" t="n">
        <v>20000</v>
      </c>
      <c r="D11" s="0" t="n">
        <v>15.117148399353</v>
      </c>
      <c r="E11" s="0" t="n">
        <v>0.0980278904198002</v>
      </c>
      <c r="F11" s="0" t="n">
        <v>20000</v>
      </c>
      <c r="G11" s="0" t="n">
        <v>14.5981330871582</v>
      </c>
      <c r="H11" s="0" t="n">
        <v>1.63741731651698</v>
      </c>
      <c r="I11" s="0" t="n">
        <v>20000</v>
      </c>
      <c r="J11" s="0" t="n">
        <v>12.3970823287964</v>
      </c>
    </row>
    <row r="12" customFormat="false" ht="15" hidden="false" customHeight="false" outlineLevel="0" collapsed="false">
      <c r="A12" s="1" t="n">
        <v>8</v>
      </c>
      <c r="B12" s="0" t="n">
        <v>1.02234448966515</v>
      </c>
      <c r="C12" s="0" t="n">
        <v>20000</v>
      </c>
      <c r="D12" s="0" t="n">
        <v>17.9366736412048</v>
      </c>
      <c r="E12" s="0" t="n">
        <v>0.0344747013039438</v>
      </c>
      <c r="F12" s="0" t="n">
        <v>20000</v>
      </c>
      <c r="G12" s="0" t="n">
        <v>14.7890350818634</v>
      </c>
      <c r="H12" s="0" t="n">
        <v>0.584146961403401</v>
      </c>
      <c r="I12" s="0" t="n">
        <v>20000</v>
      </c>
      <c r="J12" s="0" t="n">
        <v>12.5145771503449</v>
      </c>
    </row>
    <row r="13" customFormat="false" ht="15" hidden="false" customHeight="false" outlineLevel="0" collapsed="false">
      <c r="A13" s="1" t="n">
        <v>9</v>
      </c>
      <c r="B13" s="0" t="n">
        <v>1.00675090662023</v>
      </c>
      <c r="C13" s="0" t="n">
        <v>20000</v>
      </c>
      <c r="D13" s="0" t="n">
        <v>12.0908334255219</v>
      </c>
      <c r="E13" s="0" t="n">
        <v>0.10802576798976</v>
      </c>
      <c r="F13" s="0" t="n">
        <v>20000</v>
      </c>
      <c r="G13" s="0" t="n">
        <v>14.9233455657959</v>
      </c>
      <c r="H13" s="0" t="n">
        <v>0.0516152512436837</v>
      </c>
      <c r="I13" s="0" t="n">
        <v>20000</v>
      </c>
      <c r="J13" s="0" t="n">
        <v>12.3087148666382</v>
      </c>
    </row>
    <row r="15" customFormat="false" ht="13.8" hidden="false" customHeight="false" outlineLevel="0" collapsed="false">
      <c r="A15" s="2" t="s">
        <v>6</v>
      </c>
      <c r="B15" s="0" t="n">
        <f aca="false">AVERAGE(B4:B13)</f>
        <v>1.00981901722288</v>
      </c>
      <c r="D15" s="0" t="n">
        <f aca="false">AVERAGE(D4:D13)</f>
        <v>14.3196574687958</v>
      </c>
      <c r="E15" s="2" t="n">
        <f aca="false">AVERAGE(E4:E13)</f>
        <v>0.068759384073229</v>
      </c>
      <c r="G15" s="0" t="n">
        <f aca="false">AVERAGE(G4:G13)</f>
        <v>15.0163294553757</v>
      </c>
      <c r="H15" s="0" t="n">
        <f aca="false">AVERAGE(H4:H13)</f>
        <v>0.413470365649823</v>
      </c>
      <c r="J15" s="0" t="n">
        <f aca="false">AVERAGE(J4:J13)</f>
        <v>12.1590358257294</v>
      </c>
    </row>
    <row r="16" customFormat="false" ht="13.8" hidden="false" customHeight="false" outlineLevel="0" collapsed="false">
      <c r="A16" s="2" t="s">
        <v>7</v>
      </c>
      <c r="B16" s="0" t="n">
        <f aca="false">STDEV(B4:B13)</f>
        <v>0.017345827622188</v>
      </c>
      <c r="D16" s="0" t="n">
        <f aca="false">STDEV(D4:D13)</f>
        <v>3.44136532550552</v>
      </c>
      <c r="E16" s="0" t="n">
        <f aca="false">STDEV(E4:E13)</f>
        <v>0.0423659185868752</v>
      </c>
      <c r="G16" s="0" t="n">
        <f aca="false">STDEV(G4:G13)</f>
        <v>1.39792330657632</v>
      </c>
      <c r="H16" s="0" t="n">
        <f aca="false">STDEV(H4:H13)</f>
        <v>0.681642209756977</v>
      </c>
      <c r="J16" s="0" t="n">
        <f aca="false">STDEV(J4:J13)</f>
        <v>0.207857682148668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customFormat="false" ht="13.8" hidden="false" customHeight="false" outlineLevel="0" collapsed="false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4" customFormat="false" ht="15" hidden="false" customHeight="false" outlineLevel="0" collapsed="false">
      <c r="A4" s="1" t="n">
        <v>0</v>
      </c>
      <c r="B4" s="0" t="n">
        <v>63.9680282121395</v>
      </c>
      <c r="C4" s="0" t="n">
        <v>20000</v>
      </c>
      <c r="D4" s="0" t="n">
        <v>7.25059723854065</v>
      </c>
      <c r="E4" s="0" t="n">
        <v>3.73801738408471E-142</v>
      </c>
      <c r="F4" s="0" t="n">
        <v>20000</v>
      </c>
      <c r="G4" s="0" t="n">
        <v>49.638710975647</v>
      </c>
      <c r="H4" s="0" t="n">
        <v>0</v>
      </c>
      <c r="I4" s="0" t="n">
        <v>20000</v>
      </c>
      <c r="J4" s="0" t="n">
        <v>51.6025075912476</v>
      </c>
    </row>
    <row r="5" customFormat="false" ht="15" hidden="false" customHeight="false" outlineLevel="0" collapsed="false">
      <c r="A5" s="1" t="n">
        <v>1</v>
      </c>
      <c r="B5" s="0" t="n">
        <v>39.3391122816329</v>
      </c>
      <c r="C5" s="0" t="n">
        <v>20000</v>
      </c>
      <c r="D5" s="0" t="n">
        <v>28.1386070251465</v>
      </c>
      <c r="E5" s="0" t="n">
        <v>4.4381553761442E-138</v>
      </c>
      <c r="F5" s="0" t="n">
        <v>20000</v>
      </c>
      <c r="G5" s="0" t="n">
        <v>49.4916353225708</v>
      </c>
      <c r="H5" s="0" t="n">
        <v>0</v>
      </c>
      <c r="I5" s="0" t="n">
        <v>20000</v>
      </c>
      <c r="J5" s="0" t="n">
        <v>51.3299021720886</v>
      </c>
    </row>
    <row r="6" customFormat="false" ht="15" hidden="false" customHeight="false" outlineLevel="0" collapsed="false">
      <c r="A6" s="1" t="n">
        <v>2</v>
      </c>
      <c r="B6" s="0" t="n">
        <v>51.0402384930771</v>
      </c>
      <c r="C6" s="0" t="n">
        <v>20000</v>
      </c>
      <c r="D6" s="0" t="n">
        <v>21.066415309906</v>
      </c>
      <c r="E6" s="0" t="n">
        <v>26.2144</v>
      </c>
      <c r="F6" s="0" t="n">
        <v>20000</v>
      </c>
      <c r="G6" s="0" t="n">
        <v>11.5491614341736</v>
      </c>
      <c r="H6" s="0" t="n">
        <v>0</v>
      </c>
      <c r="I6" s="0" t="n">
        <v>20000</v>
      </c>
      <c r="J6" s="0" t="n">
        <v>49.9402408599854</v>
      </c>
    </row>
    <row r="7" customFormat="false" ht="15" hidden="false" customHeight="false" outlineLevel="0" collapsed="false">
      <c r="A7" s="1" t="n">
        <v>3</v>
      </c>
      <c r="B7" s="0" t="n">
        <v>72.8098179603604</v>
      </c>
      <c r="C7" s="0" t="n">
        <v>20000</v>
      </c>
      <c r="D7" s="0" t="n">
        <v>25.8618931770325</v>
      </c>
      <c r="E7" s="0" t="n">
        <v>5.38965065026418E-139</v>
      </c>
      <c r="F7" s="0" t="n">
        <v>20000</v>
      </c>
      <c r="G7" s="0" t="n">
        <v>49.8614423274994</v>
      </c>
      <c r="H7" s="0" t="n">
        <v>0</v>
      </c>
      <c r="I7" s="0" t="n">
        <v>20000</v>
      </c>
      <c r="J7" s="0" t="n">
        <v>47.7022821903229</v>
      </c>
    </row>
    <row r="8" customFormat="false" ht="15" hidden="false" customHeight="false" outlineLevel="0" collapsed="false">
      <c r="A8" s="1" t="n">
        <v>4</v>
      </c>
      <c r="B8" s="0" t="n">
        <v>56.1493632109724</v>
      </c>
      <c r="C8" s="0" t="n">
        <v>20000</v>
      </c>
      <c r="D8" s="0" t="n">
        <v>8.92200636863709</v>
      </c>
      <c r="E8" s="0" t="n">
        <v>26.2144</v>
      </c>
      <c r="F8" s="0" t="n">
        <v>20000</v>
      </c>
      <c r="G8" s="0" t="n">
        <v>10.1810336112976</v>
      </c>
      <c r="H8" s="0" t="n">
        <v>0</v>
      </c>
      <c r="I8" s="0" t="n">
        <v>20000</v>
      </c>
      <c r="J8" s="0" t="n">
        <v>47.6692221164703</v>
      </c>
    </row>
    <row r="9" customFormat="false" ht="15" hidden="false" customHeight="false" outlineLevel="0" collapsed="false">
      <c r="A9" s="1" t="n">
        <v>5</v>
      </c>
      <c r="B9" s="0" t="n">
        <v>69.7145930721931</v>
      </c>
      <c r="C9" s="0" t="n">
        <v>20000</v>
      </c>
      <c r="D9" s="0" t="n">
        <v>10.7642304897308</v>
      </c>
      <c r="E9" s="0" t="n">
        <v>1.19448468172929E-144</v>
      </c>
      <c r="F9" s="0" t="n">
        <v>20000</v>
      </c>
      <c r="G9" s="0" t="n">
        <v>49.6965851783752</v>
      </c>
      <c r="H9" s="0" t="n">
        <v>0</v>
      </c>
      <c r="I9" s="0" t="n">
        <v>20000</v>
      </c>
      <c r="J9" s="0" t="n">
        <v>50.7504456043243</v>
      </c>
    </row>
    <row r="10" customFormat="false" ht="15" hidden="false" customHeight="false" outlineLevel="0" collapsed="false">
      <c r="A10" s="1" t="n">
        <v>6</v>
      </c>
      <c r="B10" s="0" t="n">
        <v>59.3557050157651</v>
      </c>
      <c r="C10" s="0" t="n">
        <v>20000</v>
      </c>
      <c r="D10" s="0" t="n">
        <v>17.4015860557556</v>
      </c>
      <c r="E10" s="0" t="n">
        <v>52.4288</v>
      </c>
      <c r="F10" s="0" t="n">
        <v>20000</v>
      </c>
      <c r="G10" s="0" t="n">
        <v>12.1640875339508</v>
      </c>
      <c r="H10" s="0" t="n">
        <v>0</v>
      </c>
      <c r="I10" s="0" t="n">
        <v>20000</v>
      </c>
      <c r="J10" s="0" t="n">
        <v>48.2361142635346</v>
      </c>
    </row>
    <row r="11" customFormat="false" ht="15" hidden="false" customHeight="false" outlineLevel="0" collapsed="false">
      <c r="A11" s="1" t="n">
        <v>7</v>
      </c>
      <c r="B11" s="0" t="n">
        <v>59.0350778247463</v>
      </c>
      <c r="C11" s="0" t="n">
        <v>20000</v>
      </c>
      <c r="D11" s="0" t="n">
        <v>12.4682457447052</v>
      </c>
      <c r="E11" s="0" t="n">
        <v>52.4288</v>
      </c>
      <c r="F11" s="0" t="n">
        <v>20000</v>
      </c>
      <c r="G11" s="0" t="n">
        <v>9.17387819290161</v>
      </c>
      <c r="H11" s="0" t="n">
        <v>0</v>
      </c>
      <c r="I11" s="0" t="n">
        <v>20000</v>
      </c>
      <c r="J11" s="0" t="n">
        <v>47.0369007587433</v>
      </c>
    </row>
    <row r="12" customFormat="false" ht="15" hidden="false" customHeight="false" outlineLevel="0" collapsed="false">
      <c r="A12" s="1" t="n">
        <v>8</v>
      </c>
      <c r="B12" s="0" t="n">
        <v>67.3457430698756</v>
      </c>
      <c r="C12" s="0" t="n">
        <v>20000</v>
      </c>
      <c r="D12" s="0" t="n">
        <v>7.23344421386719</v>
      </c>
      <c r="E12" s="0" t="n">
        <v>2.58585955049147E-142</v>
      </c>
      <c r="F12" s="0" t="n">
        <v>20000</v>
      </c>
      <c r="G12" s="0" t="n">
        <v>49.7210927009583</v>
      </c>
      <c r="H12" s="0" t="n">
        <v>0</v>
      </c>
      <c r="I12" s="0" t="n">
        <v>20000</v>
      </c>
      <c r="J12" s="0" t="n">
        <v>48.4257884025574</v>
      </c>
    </row>
    <row r="13" customFormat="false" ht="15" hidden="false" customHeight="false" outlineLevel="0" collapsed="false">
      <c r="A13" s="1" t="n">
        <v>9</v>
      </c>
      <c r="B13" s="0" t="n">
        <v>88.7474384588628</v>
      </c>
      <c r="C13" s="0" t="n">
        <v>20000</v>
      </c>
      <c r="D13" s="0" t="n">
        <v>7.26705288887024</v>
      </c>
      <c r="E13" s="0" t="n">
        <v>1.95449464207911E-140</v>
      </c>
      <c r="F13" s="0" t="n">
        <v>20000</v>
      </c>
      <c r="G13" s="0" t="n">
        <v>49.8163902759552</v>
      </c>
      <c r="H13" s="0" t="n">
        <v>0</v>
      </c>
      <c r="I13" s="0" t="n">
        <v>20000</v>
      </c>
      <c r="J13" s="0" t="n">
        <v>48.4264323711395</v>
      </c>
    </row>
    <row r="15" customFormat="false" ht="13.8" hidden="false" customHeight="false" outlineLevel="0" collapsed="false">
      <c r="A15" s="2" t="s">
        <v>6</v>
      </c>
      <c r="B15" s="0" t="n">
        <f aca="false">AVERAGE(B4:B13)</f>
        <v>62.7505117599625</v>
      </c>
      <c r="D15" s="0" t="n">
        <f aca="false">AVERAGE(D4:D13)</f>
        <v>14.6374078512192</v>
      </c>
      <c r="E15" s="0" t="n">
        <f aca="false">AVERAGE(E4:E13)</f>
        <v>15.72864</v>
      </c>
      <c r="G15" s="0" t="n">
        <f aca="false">AVERAGE(G4:G13)</f>
        <v>34.1294017553329</v>
      </c>
      <c r="H15" s="2" t="n">
        <f aca="false">AVERAGE(H4:H13)</f>
        <v>0</v>
      </c>
      <c r="J15" s="0" t="n">
        <f aca="false">AVERAGE(J4:J13)</f>
        <v>49.1119836330414</v>
      </c>
    </row>
    <row r="16" customFormat="false" ht="13.8" hidden="false" customHeight="false" outlineLevel="0" collapsed="false">
      <c r="A16" s="2" t="s">
        <v>7</v>
      </c>
      <c r="B16" s="0" t="n">
        <f aca="false">STDEV(B4:B13)</f>
        <v>13.3427267515133</v>
      </c>
      <c r="D16" s="0" t="n">
        <f aca="false">STDEV(D4:D13)</f>
        <v>7.98138549710481</v>
      </c>
      <c r="E16" s="0" t="n">
        <f aca="false">STDEV(E4:E13)</f>
        <v>22.1059230652581</v>
      </c>
      <c r="G16" s="0" t="n">
        <f aca="false">STDEV(G4:G13)</f>
        <v>20.1223988055029</v>
      </c>
      <c r="H16" s="0" t="n">
        <f aca="false">STDEV(H4:H13)</f>
        <v>0</v>
      </c>
      <c r="J16" s="0" t="n">
        <f aca="false">STDEV(J4:J13)</f>
        <v>1.6524466494516</v>
      </c>
    </row>
  </sheetData>
  <mergeCells count="3">
    <mergeCell ref="B1:D1"/>
    <mergeCell ref="E1:G1"/>
    <mergeCell ref="H1:J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2018-04-19T21:48:14Z</dcterms:created>
  <dc:creator>openpyxl</dc:creator>
  <dc:description/>
  <dc:language>pt-BR</dc:language>
  <cp:lastModifiedBy/>
  <dcterms:modified xsi:type="dcterms:W3CDTF">2018-04-20T08:22:58Z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2.5</vt:lpwstr>
  </property>
</Properties>
</file>